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Dashboard &amp; Index Ben" sheetId="1" state="visible" r:id="rId1"/>
    <sheet xmlns:r="http://schemas.openxmlformats.org/officeDocument/2006/relationships" name="Market Breadth &amp; Valuation Metr" sheetId="2" state="visible" r:id="rId2"/>
    <sheet xmlns:r="http://schemas.openxmlformats.org/officeDocument/2006/relationships" name="FII VS DII DATA" sheetId="3" state="visible" r:id="rId3"/>
    <sheet xmlns:r="http://schemas.openxmlformats.org/officeDocument/2006/relationships" name="MARKET VALUATION" sheetId="4" state="visible" r:id="rId4"/>
    <sheet xmlns:r="http://schemas.openxmlformats.org/officeDocument/2006/relationships" name="MAJOR BULK DEAL" sheetId="5" state="visible" r:id="rId5"/>
    <sheet xmlns:r="http://schemas.openxmlformats.org/officeDocument/2006/relationships" name="UPCOMING IPO" sheetId="6" state="visible" r:id="rId6"/>
    <sheet xmlns:r="http://schemas.openxmlformats.org/officeDocument/2006/relationships" name="High-Delivery Accumulation Stoc" sheetId="7" state="visible" r:id="rId7"/>
    <sheet xmlns:r="http://schemas.openxmlformats.org/officeDocument/2006/relationships" name="Upcoming Board Meetings &amp; Corpo" sheetId="8" state="visible" r:id="rId8"/>
    <sheet xmlns:r="http://schemas.openxmlformats.org/officeDocument/2006/relationships" name="Significant Regulatory Announce" sheetId="9" state="visible" r:id="rId9"/>
    <sheet xmlns:r="http://schemas.openxmlformats.org/officeDocument/2006/relationships" name="Corporate Earnings, Corporate 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-mmm-yyyy"/>
    <numFmt numFmtId="165" formatCode="dd-mmm-yyyy"/>
    <numFmt numFmtId="166" formatCode="mmmm d"/>
    <numFmt numFmtId="167" formatCode="mmmm dd"/>
    <numFmt numFmtId="168" formatCode="yyyy-mm-dd h:mm:ss"/>
  </numFmts>
  <fonts count="7">
    <font>
      <name val="Arial"/>
      <color rgb="FF000000"/>
      <sz val="10"/>
      <scheme val="minor"/>
    </font>
    <font>
      <name val="&quot;Google Sans Text&quot;"/>
      <color theme="1"/>
    </font>
    <font>
      <name val="&quot;Google Sans Text&quot;"/>
      <b val="1"/>
      <color rgb="FF1F1F1F"/>
    </font>
    <font>
      <name val="&quot;Google Sans Text&quot;"/>
      <color rgb="FF1F1F1F"/>
    </font>
    <font>
      <name val="Arial"/>
      <color theme="1"/>
      <scheme val="minor"/>
    </font>
    <font>
      <name val="&quot;Google Sans Text&quot;"/>
      <b val="1"/>
      <color rgb="FF0000FF"/>
      <u val="single"/>
    </font>
    <font>
      <name val="&quot;Google Sans Text&quot;"/>
      <b val="1"/>
      <color theme="1"/>
    </font>
  </fonts>
  <fills count="2">
    <fill>
      <patternFill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0" fontId="4" fillId="0" borderId="0" pivotButton="0" quotePrefix="0" xfId="0"/>
    <xf numFmtId="164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0" pivotButton="0" quotePrefix="0" xfId="0"/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 defaultTableStyle="TableStyleMedium9" defaultPivotStyle="PivotStyleLight16">
    <tableStyle name="Executive Dashboard &amp; Index Be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ARKET VALUA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arket Breadth &amp; Valuation Met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II VS DII DAT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AJOR BULK DEA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UPCOMING IP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Upcoming Board Meetings &amp; Corp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ignificant Regulatory Announc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High-Delivery Accumulation Stoc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rporate Earnings, Corporate 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serif"/>
              </a:defRPr>
            </a:pPr>
            <a:r>
              <a:rPr b="0">
                <a:solidFill>
                  <a:srgbClr val="000000"/>
                </a:solidFill>
                <a:latin typeface="serif"/>
              </a:rPr>
              <a:t>Market Breadth - Nifty 50 Gainers vs. Losers.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'Market Breadth &amp; Valuation Metr'!$B$1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6AA8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'Market Breadth &amp; Valuation Metr'!$A$2:$A$3</f>
            </strRef>
          </cat>
          <val>
            <numRef>
              <f>'Market Breadth &amp; Valuation Metr'!$B$2:$B$3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50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FII VS II NET CASH FLOW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'FII VS DII DATA'!$D$1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'FII VS DII DATA'!$A$2:$A$9</f>
            </strRef>
          </cat>
          <val>
            <numRef>
              <f>'FII VS DII DATA'!$D$2:$D$9</f>
              <numCache/>
            </numRef>
          </val>
        </ser>
        <ser>
          <idx val="1"/>
          <order val="1"/>
          <tx>
            <strRef>
              <f>'FII VS DII DATA'!$G$1</f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'FII VS DII DATA'!$A$2:$A$9</f>
            </strRef>
          </cat>
          <val>
            <numRef>
              <f>'FII VS DII DATA'!$G$2:$G$9</f>
              <numCache/>
            </numRef>
          </val>
        </ser>
        <gapWidth val="150"/>
        <axId val="1352073614"/>
        <axId val="806916362"/>
      </barChart>
      <catAx>
        <axId val="135207361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06916362"/>
        <lblOffset val="100"/>
      </catAx>
      <valAx>
        <axId val="80691636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52073614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High-Delivery Accumulation Across Sector Leaders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'High-Delivery Accumulation Stoc'!$C$1</f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noFill/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/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'High-Delivery Accumulation Stoc'!$A$2:$A$6</f>
            </strRef>
          </cat>
          <val>
            <numRef>
              <f>'High-Delivery Accumulation Stoc'!$C$2:$C$6</f>
              <numCache/>
            </numRef>
          </val>
        </ser>
        <gapWidth val="150"/>
        <axId val="857877979"/>
        <axId val="1959259132"/>
      </barChart>
      <catAx>
        <axId val="85787797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59259132"/>
        <lblOffset val="100"/>
      </catAx>
      <valAx>
        <axId val="195925913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 Percentage (%)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5787797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381000</colOff>
      <row>9</row>
      <rowOff>66675</rowOff>
    </from>
    <ext cx="4848225" cy="30003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371475</colOff>
      <row>10</row>
      <rowOff>38100</rowOff>
    </from>
    <ext cx="752475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533400</colOff>
      <row>10</row>
      <rowOff>47625</rowOff>
    </from>
    <ext cx="571500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1" displayName="Table1" ref="A1:G5" headerRowCount="1">
  <tableColumns count="7">
    <tableColumn id="1" name="Index Name"/>
    <tableColumn id="2" name="Today's Close"/>
    <tableColumn id="3" name="Points Change"/>
    <tableColumn id="4" name="% Change"/>
    <tableColumn id="5" name="Weekly High"/>
    <tableColumn id="6" name="Weekly Low"/>
    <tableColumn id="7" name="Trend"/>
  </tableColumns>
  <tableStyleInfo name="Executive Dashboard &amp; Index Ben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F4" headerRowCount="1">
  <tableColumns count="6">
    <tableColumn id="1" name="Metric"/>
    <tableColumn id="2" name="Nifty 50 Count"/>
    <tableColumn id="3" name="Nifty 500 Count"/>
    <tableColumn id="4" name="Index Valuation"/>
    <tableColumn id="5" name="Today's Value"/>
    <tableColumn id="6" name="Historical 30D Avg"/>
  </tableColumns>
  <tableStyleInfo name="Market Breadth &amp; Valuation Metr-style" showFirstColumn="1" showLastColumn="1" showRowStripes="1" showColumnStripes="0"/>
</table>
</file>

<file path=xl/tables/table3.xml><?xml version="1.0" encoding="utf-8"?>
<table xmlns="http://schemas.openxmlformats.org/spreadsheetml/2006/main" id="3" name="Table3" displayName="Table3" ref="A1:H9" headerRowCount="1">
  <tableColumns count="8">
    <tableColumn id="1" name="Date"/>
    <tableColumn id="2" name="FII Buy (₹ Cr)"/>
    <tableColumn id="3" name="FII Sell (₹ Cr)"/>
    <tableColumn id="4" name="FII Net (₹ Cr)"/>
    <tableColumn id="5" name="DII Buy (₹ Cr)"/>
    <tableColumn id="6" name="DII Sell (₹ Cr)"/>
    <tableColumn id="7" name="DII Net (₹ Cr)"/>
    <tableColumn id="8" name="Net Institutional Flow"/>
  </tableColumns>
  <tableStyleInfo name="FII VS DII DATA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1:F5" headerRowCount="1">
  <tableColumns count="6">
    <tableColumn id="1" name="Index / Sector"/>
    <tableColumn id="2" name="Trailing P/E Ratio"/>
    <tableColumn id="3" name="Price-to-Book (P/B)"/>
    <tableColumn id="4" name="30-Day Historical Avg P/E"/>
    <tableColumn id="5" name="Valuation Status"/>
    <tableColumn id="6" name="Key Weekly Observation"/>
  </tableColumns>
  <tableStyleInfo name="MARKET VALUATION-style" showFirstColumn="1" showLastColumn="1" showRowStripes="1" showColumnStripes="0"/>
</table>
</file>

<file path=xl/tables/table5.xml><?xml version="1.0" encoding="utf-8"?>
<table xmlns="http://schemas.openxmlformats.org/spreadsheetml/2006/main" id="5" name="Table9" displayName="Table9" ref="A1:H4" headerRowCount="1">
  <tableColumns count="8">
    <tableColumn id="1" name="Date"/>
    <tableColumn id="2" name="Company Name"/>
    <tableColumn id="3" name="Client / Institutional Name"/>
    <tableColumn id="4" name="Deal Type"/>
    <tableColumn id="5" name="Exchange"/>
    <tableColumn id="6" name="Quantity (Shares)"/>
    <tableColumn id="7" name="Average Price (₹)"/>
    <tableColumn id="8" name="Total Deal Value"/>
  </tableColumns>
  <tableStyleInfo name="MAJOR BULK DEAL-style" showFirstColumn="1" showLastColumn="1" showRowStripes="1" showColumnStripes="0"/>
</table>
</file>

<file path=xl/tables/table6.xml><?xml version="1.0" encoding="utf-8"?>
<table xmlns="http://schemas.openxmlformats.org/spreadsheetml/2006/main" id="6" name="Table10" displayName="Table10" ref="A1:F4" headerRowCount="1">
  <tableColumns count="6">
    <tableColumn id="1" name="Company Name"/>
    <tableColumn id="2" name="Exchange / Category"/>
    <tableColumn id="3" name="Scheduled Issue Dates"/>
    <tableColumn id="4" name="Price Range (₹)"/>
    <tableColumn id="5" name="Issue Size (₹ Cr)"/>
    <tableColumn id="6" name="Minimum Investment / Lot"/>
  </tableColumns>
  <tableStyleInfo name="UPCOMING IPO-style" showFirstColumn="1" showLastColumn="1" showRowStripes="1" showColumnStripes="0"/>
</table>
</file>

<file path=xl/tables/table7.xml><?xml version="1.0" encoding="utf-8"?>
<table xmlns="http://schemas.openxmlformats.org/spreadsheetml/2006/main" id="7" name="Table5" displayName="Table5" ref="A1:D6" headerRowCount="1">
  <tableColumns count="4">
    <tableColumn id="1" name="Company Name"/>
    <tableColumn id="2" name="Ticker"/>
    <tableColumn id="3" name="Delivery Percentage (%)"/>
    <tableColumn id="4" name="Signal / Remark"/>
  </tableColumns>
  <tableStyleInfo name="High-Delivery Accumulation Stoc-style" showFirstColumn="1" showLastColumn="1" showRowStripes="1" showColumnStripes="0"/>
</table>
</file>

<file path=xl/tables/table8.xml><?xml version="1.0" encoding="utf-8"?>
<table xmlns="http://schemas.openxmlformats.org/spreadsheetml/2006/main" id="8" name="Table7" displayName="Table7" ref="A2:D5" headerRowCount="1">
  <tableColumns count="4">
    <tableColumn id="1" name="Company Name"/>
    <tableColumn id="2" name="Event Type"/>
    <tableColumn id="3" name="Scheduled Date"/>
    <tableColumn id="4" name="Focus Area / Agenda"/>
  </tableColumns>
  <tableStyleInfo name="Upcoming Board Meetings &amp; Corpo-style" showFirstColumn="1" showLastColumn="1" showRowStripes="1" showColumnStripes="0"/>
</table>
</file>

<file path=xl/tables/table9.xml><?xml version="1.0" encoding="utf-8"?>
<table xmlns="http://schemas.openxmlformats.org/spreadsheetml/2006/main" id="9" name="Table8" displayName="Table8" ref="A1:D6" headerRowCount="1">
  <tableColumns count="4">
    <tableColumn id="1" name="Company Name"/>
    <tableColumn id="2" name="Ticker"/>
    <tableColumn id="3" name="Filing Date / Time"/>
    <tableColumn id="4" name="Subject / Key Disclosure"/>
  </tableColumns>
  <tableStyleInfo name="Significant Regulatory Announce-style" showFirstColumn="1" showLastColumn="1" showRowStripes="1" showColumnStripes="0"/>
</table>
</file>

<file path=xl/tables/table10.xml><?xml version="1.0" encoding="utf-8"?>
<table xmlns="http://schemas.openxmlformats.org/spreadsheetml/2006/main" id="10" name="Table6" displayName="Table6" ref="A1:E7" headerRowCount="1">
  <tableColumns count="5">
    <tableColumn id="1" name="Company Name"/>
    <tableColumn id="2" name="Ticker"/>
    <tableColumn id="3" name="LTP (₹)"/>
    <tableColumn id="4" name="Day Change (%)"/>
    <tableColumn id="5" name="Result Highlights / Key Takeaway"/>
  </tableColumns>
  <tableStyleInfo name="Corporate Earnings, Corporate 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scanx.trade/insight/ipo" TargetMode="External" Id="rId1"/><Relationship Type="http://schemas.openxmlformats.org/officeDocument/2006/relationships/hyperlink" Target="https://scanx.trade/insight/ipo" TargetMode="External" Id="rId2"/><Relationship Type="http://schemas.openxmlformats.org/officeDocument/2006/relationships/hyperlink" Target="https://scanx.trade/insight/ipo" TargetMode="External" Id="rId3"/><Relationship Type="http://schemas.openxmlformats.org/officeDocument/2006/relationships/table" Target="/xl/tables/table6.xml" Id="rId4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0.38" customWidth="1" style="21" min="1" max="1"/>
    <col width="19.25" customWidth="1" style="21" min="2" max="2"/>
    <col width="16.38" customWidth="1" style="21" min="3" max="3"/>
    <col width="16.5" customWidth="1" style="21" min="4" max="4"/>
    <col width="18" customWidth="1" style="21" min="5" max="5"/>
    <col width="17.63" customWidth="1" style="21" min="6" max="6"/>
    <col width="14.25" customWidth="1" style="21" min="7" max="7"/>
  </cols>
  <sheetData>
    <row r="1" ht="22.5" customHeight="1" s="21">
      <c r="A1" s="1" t="inlineStr">
        <is>
          <t>Index Name</t>
        </is>
      </c>
      <c r="B1" s="1" t="inlineStr">
        <is>
          <t>Today's Close</t>
        </is>
      </c>
      <c r="C1" s="1" t="inlineStr">
        <is>
          <t>Points Change</t>
        </is>
      </c>
      <c r="D1" s="1" t="inlineStr">
        <is>
          <t>% Change</t>
        </is>
      </c>
      <c r="E1" s="1" t="inlineStr">
        <is>
          <t>Weekly High</t>
        </is>
      </c>
      <c r="F1" s="1" t="inlineStr">
        <is>
          <t>Weekly Low</t>
        </is>
      </c>
      <c r="G1" s="1" t="inlineStr">
        <is>
          <t>Trend</t>
        </is>
      </c>
    </row>
    <row r="2" ht="22.5" customHeight="1" s="21">
      <c r="A2" s="10" t="inlineStr">
        <is>
          <t>INDEXNSE:NIFTY_50</t>
        </is>
      </c>
      <c r="B2" s="3" t="n">
        <v>24329.85</v>
      </c>
      <c r="C2" s="20" t="n">
        <v>-36.15</v>
      </c>
      <c r="D2" s="19" t="n">
        <v>-0.0015</v>
      </c>
      <c r="E2" s="3" t="n">
        <v>24630.4</v>
      </c>
      <c r="F2" s="3" t="n">
        <v>24226.95</v>
      </c>
      <c r="G2" s="20" t="inlineStr">
        <is>
          <t>Bearish</t>
        </is>
      </c>
    </row>
    <row r="3" ht="22.5" customHeight="1" s="21">
      <c r="A3" s="10" t="inlineStr">
        <is>
          <t>INDEXNSE:NIFTY_BANK</t>
        </is>
      </c>
      <c r="B3" s="3" t="n">
        <v>57585.95</v>
      </c>
      <c r="C3" s="20" t="n">
        <v>94.84999999999999</v>
      </c>
      <c r="D3" s="19" t="n">
        <v>0.0016</v>
      </c>
      <c r="E3" s="3" t="n">
        <v>58015.85</v>
      </c>
      <c r="F3" s="3" t="n">
        <v>57119.6</v>
      </c>
      <c r="G3" s="20" t="inlineStr">
        <is>
          <t>Bearish</t>
        </is>
      </c>
    </row>
    <row r="4" ht="22.5" customHeight="1" s="21">
      <c r="A4" s="10" t="inlineStr">
        <is>
          <t>INDEXNSE:NIFTY_FIN_SERVICE</t>
        </is>
      </c>
      <c r="B4" s="3" t="n">
        <v>26261.4</v>
      </c>
      <c r="C4" s="20" t="n">
        <v>47.75</v>
      </c>
      <c r="D4" s="19" t="n">
        <v>0.0018</v>
      </c>
      <c r="E4" s="3" t="n">
        <v>26299.05</v>
      </c>
      <c r="F4" s="3" t="n">
        <v>26051.75</v>
      </c>
      <c r="G4" s="20" t="inlineStr">
        <is>
          <t>Bearish</t>
        </is>
      </c>
    </row>
    <row r="5" ht="22.5" customHeight="1" s="21">
      <c r="A5" s="10" t="inlineStr">
        <is>
          <t>INDEXBOM:SENSEX</t>
        </is>
      </c>
      <c r="B5" s="3" t="n">
        <v>77794.10000000001</v>
      </c>
      <c r="C5" s="20" t="n">
        <v>-215.15</v>
      </c>
      <c r="D5" s="19" t="n">
        <v>-0.0028</v>
      </c>
      <c r="E5" s="3" t="n">
        <v>78757.39999999999</v>
      </c>
      <c r="F5" s="3" t="n">
        <v>77453.75</v>
      </c>
      <c r="G5" s="20" t="inlineStr">
        <is>
          <t>Bearish</t>
        </is>
      </c>
    </row>
  </sheetData>
  <dataValidations count="1">
    <dataValidation sqref="B2:B5 D2:F5" showDropDown="1" showInputMessage="0" showErrorMessage="0" allowBlank="1" type="custom">
      <formula1>AND(ISNUMBER(B2),(NOT(OR(NOT(ISERROR(DATEVALUE(B2))), AND(ISNUMBER(B2), LEFT(CELL("format", B2))="D")))))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75" customWidth="1" style="21" min="1" max="1"/>
    <col width="16.5" customWidth="1" style="21" min="2" max="2"/>
    <col width="17.63" customWidth="1" style="21" min="3" max="3"/>
    <col width="17" customWidth="1" style="21" min="4" max="4"/>
    <col width="15.88" customWidth="1" style="21" min="5" max="5"/>
    <col width="19.38" customWidth="1" style="21" min="6" max="6"/>
  </cols>
  <sheetData>
    <row r="1" ht="22.5" customHeight="1" s="21">
      <c r="A1" s="1" t="inlineStr">
        <is>
          <t>Metric</t>
        </is>
      </c>
      <c r="B1" s="1" t="inlineStr">
        <is>
          <t>Nifty 50 Count</t>
        </is>
      </c>
      <c r="C1" s="1" t="inlineStr">
        <is>
          <t>Nifty 500 Count</t>
        </is>
      </c>
      <c r="D1" s="1" t="inlineStr">
        <is>
          <t>Index Valuation</t>
        </is>
      </c>
      <c r="E1" s="1" t="inlineStr">
        <is>
          <t>Today's Value</t>
        </is>
      </c>
      <c r="F1" s="1" t="inlineStr">
        <is>
          <t>Historical 30D Avg</t>
        </is>
      </c>
    </row>
    <row r="2" ht="22.5" customHeight="1" s="21">
      <c r="A2" s="10" t="inlineStr">
        <is>
          <t>Advancing Stocks (Gainers)</t>
        </is>
      </c>
      <c r="B2" s="20" t="n">
        <v>26</v>
      </c>
      <c r="C2" s="20" t="n">
        <v>256</v>
      </c>
      <c r="D2" s="10" t="inlineStr">
        <is>
          <t>Nifty 50 P/E</t>
        </is>
      </c>
      <c r="E2" s="20" t="n">
        <v>20.56</v>
      </c>
      <c r="F2" s="20" t="n">
        <v>21.1</v>
      </c>
    </row>
    <row r="3" ht="22.5" customHeight="1" s="21">
      <c r="A3" s="10" t="inlineStr">
        <is>
          <t>Declining Stocks (Losers)</t>
        </is>
      </c>
      <c r="B3" s="20" t="n">
        <v>24</v>
      </c>
      <c r="C3" s="20" t="n">
        <v>243</v>
      </c>
      <c r="D3" s="10" t="inlineStr">
        <is>
          <t>Nifty 500 P/E</t>
        </is>
      </c>
      <c r="E3" s="20" t="n">
        <v>22.94</v>
      </c>
      <c r="F3" s="20" t="n">
        <v>23.25</v>
      </c>
    </row>
    <row r="4" ht="22.5" customHeight="1" s="21">
      <c r="A4" s="10" t="inlineStr">
        <is>
          <t>Advance / Decline Ratio</t>
        </is>
      </c>
      <c r="B4" s="10" t="n">
        <v>0.2564</v>
      </c>
      <c r="C4" s="10" t="n">
        <v>0.5061</v>
      </c>
      <c r="D4" s="10" t="inlineStr">
        <is>
          <t>Market Sentiment</t>
        </is>
      </c>
      <c r="E4" s="20" t="inlineStr">
        <is>
          <t>Bearish</t>
        </is>
      </c>
      <c r="F4" s="20" t="inlineStr">
        <is>
          <t>Neutral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13" customWidth="1" style="21" min="1" max="1"/>
    <col width="18.63" customWidth="1" style="21" min="2" max="2"/>
    <col width="18.38" customWidth="1" style="21" min="3" max="3"/>
    <col width="15.13" customWidth="1" style="21" min="4" max="4"/>
    <col width="18.88" customWidth="1" style="21" min="5" max="5"/>
    <col width="18.63" customWidth="1" style="21" min="6" max="6"/>
    <col width="15.38" customWidth="1" style="21" min="7" max="7"/>
    <col width="21.38" customWidth="1" style="21" min="8" max="8"/>
  </cols>
  <sheetData>
    <row r="1" ht="22.5" customHeight="1" s="21">
      <c r="A1" s="1" t="inlineStr">
        <is>
          <t>Date</t>
        </is>
      </c>
      <c r="B1" s="1" t="inlineStr">
        <is>
          <t>FII Buy (₹ Cr)</t>
        </is>
      </c>
      <c r="C1" s="1" t="inlineStr">
        <is>
          <t>FII Sell (₹ Cr)</t>
        </is>
      </c>
      <c r="D1" s="1" t="inlineStr">
        <is>
          <t>FII Net (₹ Cr)</t>
        </is>
      </c>
      <c r="E1" s="1" t="inlineStr">
        <is>
          <t>DII Buy (₹ Cr)</t>
        </is>
      </c>
      <c r="F1" s="1" t="inlineStr">
        <is>
          <t>DII Sell (₹ Cr)</t>
        </is>
      </c>
      <c r="G1" s="1" t="inlineStr">
        <is>
          <t>DII Net (₹ Cr)</t>
        </is>
      </c>
      <c r="H1" s="1" t="inlineStr">
        <is>
          <t>Net Institutional Flow</t>
        </is>
      </c>
    </row>
    <row r="2" ht="22.5" customHeight="1" s="21">
      <c r="A2" s="22" t="n">
        <v>46248</v>
      </c>
      <c r="B2" s="0" t="n">
        <v>12854.44</v>
      </c>
      <c r="C2" s="0" t="n">
        <v>12346.32</v>
      </c>
      <c r="D2" s="0" t="n">
        <v>508.12</v>
      </c>
      <c r="E2" s="0" t="n">
        <v>14295.49</v>
      </c>
      <c r="F2" s="0" t="n">
        <v>13939.09</v>
      </c>
      <c r="G2" s="0" t="n">
        <v>356.4</v>
      </c>
      <c r="H2" s="0" t="n">
        <v>864.52</v>
      </c>
    </row>
    <row r="3" ht="22.5" customHeight="1" s="21">
      <c r="A3" s="22" t="n">
        <v>46247</v>
      </c>
      <c r="B3" s="0" t="n">
        <v>14492.46</v>
      </c>
      <c r="C3" s="0" t="n">
        <v>15003.15</v>
      </c>
      <c r="D3" s="0" t="n">
        <v>-510.69</v>
      </c>
      <c r="E3" s="0" t="n">
        <v>16565.14</v>
      </c>
      <c r="F3" s="0" t="n">
        <v>12212.05</v>
      </c>
      <c r="G3" s="0" t="n">
        <v>4353.09</v>
      </c>
      <c r="H3" s="0" t="n">
        <v>3842.4</v>
      </c>
    </row>
    <row r="4" ht="22.5" customHeight="1" s="21">
      <c r="A4" s="7" t="n">
        <v>46246</v>
      </c>
      <c r="B4" s="3" t="n">
        <v>16584.64</v>
      </c>
      <c r="C4" s="3" t="n">
        <v>17587.14</v>
      </c>
      <c r="D4" s="11" t="n">
        <v>-1002.5</v>
      </c>
      <c r="E4" s="3" t="n">
        <v>21518.55</v>
      </c>
      <c r="F4" s="3" t="n">
        <v>15676.89</v>
      </c>
      <c r="G4" s="10" t="n">
        <v>5841.66</v>
      </c>
      <c r="H4" s="11" t="n">
        <v>4839.16</v>
      </c>
    </row>
    <row r="5" ht="22.5" customHeight="1" s="21">
      <c r="A5" s="7" t="n">
        <v>46245</v>
      </c>
      <c r="B5" s="3" t="n">
        <v>14628.47</v>
      </c>
      <c r="C5" s="3" t="n">
        <v>14369.92</v>
      </c>
      <c r="D5" s="10" t="n">
        <v>258.55</v>
      </c>
      <c r="E5" s="3" t="n">
        <v>15006.72</v>
      </c>
      <c r="F5" s="3" t="n">
        <v>14981.95</v>
      </c>
      <c r="G5" s="10" t="n">
        <v>24.77</v>
      </c>
      <c r="H5" s="10" t="n">
        <v>283.32</v>
      </c>
    </row>
    <row r="6" ht="22.5" customHeight="1" s="21">
      <c r="A6" s="7" t="n">
        <v>46244</v>
      </c>
      <c r="B6" s="3" t="n">
        <v>13161.56</v>
      </c>
      <c r="C6" s="3" t="n">
        <v>11186.8</v>
      </c>
      <c r="D6" s="10" t="n">
        <v>1974.76</v>
      </c>
      <c r="E6" s="3" t="n">
        <v>15868.51</v>
      </c>
      <c r="F6" s="3" t="n">
        <v>17158.8</v>
      </c>
      <c r="G6" s="11" t="n">
        <v>-1290.29</v>
      </c>
      <c r="H6" s="11" t="n">
        <v>684.47</v>
      </c>
    </row>
    <row r="7" ht="22.5" customHeight="1" s="21">
      <c r="A7" s="12" t="n">
        <v>46241</v>
      </c>
      <c r="B7" s="3" t="n">
        <v>12941.31</v>
      </c>
      <c r="C7" s="3" t="n">
        <v>12461.07</v>
      </c>
      <c r="D7" s="10" t="n">
        <v>480.24</v>
      </c>
      <c r="E7" s="3" t="n">
        <v>15679.58</v>
      </c>
      <c r="F7" s="3" t="n">
        <v>15444.02</v>
      </c>
      <c r="G7" s="10" t="n">
        <v>235.56</v>
      </c>
      <c r="H7" s="10" t="n">
        <v>715.8</v>
      </c>
    </row>
    <row r="8" ht="22.5" customHeight="1" s="21">
      <c r="A8" s="12" t="n">
        <v>46240</v>
      </c>
      <c r="B8" s="3" t="n">
        <v>16161.35</v>
      </c>
      <c r="C8" s="3" t="n">
        <v>16179.21</v>
      </c>
      <c r="D8" s="10" t="n">
        <v>-17.86</v>
      </c>
      <c r="E8" s="3" t="n">
        <v>19723.68</v>
      </c>
      <c r="F8" s="3" t="n">
        <v>15710.08</v>
      </c>
      <c r="G8" s="10" t="n">
        <v>4013.6</v>
      </c>
      <c r="H8" s="10" t="n">
        <v>3995.74</v>
      </c>
    </row>
    <row r="9" ht="22.5" customHeight="1" s="21">
      <c r="A9" s="12" t="n">
        <v>46239</v>
      </c>
      <c r="B9" s="3" t="n">
        <v>15940.5</v>
      </c>
      <c r="C9" s="3" t="n">
        <v>16883.92</v>
      </c>
      <c r="D9" s="10" t="n">
        <v>-943.42</v>
      </c>
      <c r="E9" s="3" t="n">
        <v>19353.43</v>
      </c>
      <c r="F9" s="3" t="n">
        <v>16470.26</v>
      </c>
      <c r="G9" s="10" t="n">
        <v>2883.17</v>
      </c>
      <c r="H9" s="10" t="n">
        <v>1939.75</v>
      </c>
    </row>
    <row r="10">
      <c r="A10" s="12" t="n">
        <v>46238</v>
      </c>
      <c r="B10" s="3" t="n">
        <v>15630.45</v>
      </c>
      <c r="C10" s="3" t="n">
        <v>13183.98</v>
      </c>
      <c r="D10" s="10" t="n">
        <v>2446.47</v>
      </c>
      <c r="E10" s="3" t="n">
        <v>15241.39</v>
      </c>
      <c r="F10" s="3" t="n">
        <v>16177.53</v>
      </c>
      <c r="G10" s="10" t="n">
        <v>-936.14</v>
      </c>
      <c r="H10" s="10" t="n">
        <v>1510.33</v>
      </c>
    </row>
    <row r="11">
      <c r="A11" s="12" t="n">
        <v>46237</v>
      </c>
      <c r="B11" s="3" t="n">
        <v>12621.89</v>
      </c>
      <c r="C11" s="3" t="n">
        <v>11699.63</v>
      </c>
      <c r="D11" s="10" t="n">
        <v>922.26</v>
      </c>
      <c r="E11" s="3" t="n">
        <v>18325.97</v>
      </c>
      <c r="F11" s="3" t="n">
        <v>16754.79</v>
      </c>
      <c r="G11" s="10" t="n">
        <v>1571.18</v>
      </c>
      <c r="H11" s="10" t="n">
        <v>2493.44</v>
      </c>
    </row>
  </sheetData>
  <dataValidations count="1">
    <dataValidation sqref="B2:C9 E2:F9" showDropDown="1" showInputMessage="0" showErrorMessage="0" allowBlank="1" type="custom">
      <formula1>AND(ISNUMBER(B2),(NOT(OR(NOT(ISERROR(DATEVALUE(B2))), AND(ISNUMBER(B2), LEFT(CELL("format", B2))="D")))))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88" customWidth="1" style="21" min="1" max="1"/>
    <col width="18" customWidth="1" style="21" min="2" max="2"/>
    <col width="20.38" customWidth="1" style="21" min="3" max="3"/>
    <col width="24.63" customWidth="1" style="21" min="4" max="4"/>
    <col width="17.63" customWidth="1" style="21" min="5" max="5"/>
    <col width="71.88" customWidth="1" style="21" min="6" max="8"/>
  </cols>
  <sheetData>
    <row r="1" ht="22.5" customHeight="1" s="21">
      <c r="A1" s="1" t="inlineStr">
        <is>
          <t>Index / Sector</t>
        </is>
      </c>
      <c r="B1" s="1" t="inlineStr">
        <is>
          <t>Trailing P/E Ratio</t>
        </is>
      </c>
      <c r="C1" s="1" t="inlineStr">
        <is>
          <t>Price-to-Book (P/B)</t>
        </is>
      </c>
      <c r="D1" s="1" t="inlineStr">
        <is>
          <t>30-Day Historical Avg P/E</t>
        </is>
      </c>
      <c r="E1" s="1" t="inlineStr">
        <is>
          <t>Valuation Status</t>
        </is>
      </c>
      <c r="F1" s="1" t="inlineStr">
        <is>
          <t>Key Weekly Observation</t>
        </is>
      </c>
    </row>
    <row r="2" ht="22.5" customHeight="1" s="21">
      <c r="A2" s="10" t="inlineStr">
        <is>
          <t>Nifty 50</t>
        </is>
      </c>
      <c r="B2" s="10" t="n">
        <v>20.56</v>
      </c>
      <c r="C2" s="10" t="n">
        <v>2.97</v>
      </c>
      <c r="D2" s="20" t="n">
        <v>21.1</v>
      </c>
      <c r="E2" s="20" t="inlineStr">
        <is>
          <t>Fairly Valued</t>
        </is>
      </c>
      <c r="F2" s="20" t="inlineStr">
        <is>
          <t>Trading slightly below historical averages; supportive for long-term entry.</t>
        </is>
      </c>
    </row>
    <row r="3" ht="22.5" customHeight="1" s="21">
      <c r="A3" s="10" t="inlineStr">
        <is>
          <t>Nifty 500</t>
        </is>
      </c>
      <c r="B3" s="10" t="n">
        <v>22.94</v>
      </c>
      <c r="C3" s="10" t="n">
        <v>3.32</v>
      </c>
      <c r="D3" s="20" t="n">
        <v>23.25</v>
      </c>
      <c r="E3" s="20" t="inlineStr">
        <is>
          <t>Neutral</t>
        </is>
      </c>
      <c r="F3" s="20" t="inlineStr">
        <is>
          <t>Broader market valuations maintaining stable levels despite minor price corrections.</t>
        </is>
      </c>
    </row>
    <row r="4" ht="22.5" customHeight="1" s="21">
      <c r="A4" s="10" t="inlineStr">
        <is>
          <t>Nifty Bank</t>
        </is>
      </c>
      <c r="B4" s="10" t="n">
        <v>13.6</v>
      </c>
      <c r="C4" s="10" t="n">
        <v>1.72</v>
      </c>
      <c r="D4" s="20" t="n">
        <v>15.2</v>
      </c>
      <c r="E4" s="20" t="inlineStr">
        <is>
          <t>Undervalued</t>
        </is>
      </c>
      <c r="F4" s="20" t="inlineStr">
        <is>
          <t>Attractive valuation support relative to broader indices.</t>
        </is>
      </c>
    </row>
    <row r="5" ht="22.5" customHeight="1" s="21">
      <c r="A5" s="10" t="inlineStr">
        <is>
          <t>Nifty IT</t>
        </is>
      </c>
      <c r="B5" s="10" t="n">
        <v>20</v>
      </c>
      <c r="C5" s="10" t="n">
        <v>5.52</v>
      </c>
      <c r="D5" s="20" t="n">
        <v>28.5</v>
      </c>
      <c r="E5" s="20" t="inlineStr">
        <is>
          <t>Slightly Elevated</t>
        </is>
      </c>
      <c r="F5" s="20" t="inlineStr">
        <is>
          <t>Premium valuation driven by defensive rotation and recent earnings beats.</t>
        </is>
      </c>
    </row>
    <row r="21">
      <c r="F21" s="6" t="inlineStr">
        <is>
          <t>GOOGLE FINANCE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75" customWidth="1" style="21" min="1" max="1"/>
    <col width="25.25" customWidth="1" style="21" min="2" max="2"/>
    <col width="25" customWidth="1" style="21" min="3" max="3"/>
    <col width="13" customWidth="1" style="21" min="4" max="4"/>
    <col width="12.88" customWidth="1" style="21" min="5" max="5"/>
    <col width="18.75" customWidth="1" style="21" min="6" max="6"/>
    <col width="18.5" customWidth="1" style="21" min="7" max="7"/>
    <col width="21.13" customWidth="1" style="21" min="8" max="8"/>
  </cols>
  <sheetData>
    <row r="1" ht="22.5" customHeight="1" s="21">
      <c r="A1" s="1" t="inlineStr">
        <is>
          <t>Date</t>
        </is>
      </c>
      <c r="B1" s="1" t="inlineStr">
        <is>
          <t>Company Name</t>
        </is>
      </c>
      <c r="C1" s="1" t="inlineStr">
        <is>
          <t>Client / Institutional Name</t>
        </is>
      </c>
      <c r="D1" s="1" t="inlineStr">
        <is>
          <t>Deal Type</t>
        </is>
      </c>
      <c r="E1" s="1" t="inlineStr">
        <is>
          <t>Exchange</t>
        </is>
      </c>
      <c r="F1" s="1" t="inlineStr">
        <is>
          <t>Quantity (Shares)</t>
        </is>
      </c>
      <c r="G1" s="1" t="inlineStr">
        <is>
          <t>Average Price (₹)</t>
        </is>
      </c>
      <c r="H1" s="1" t="inlineStr">
        <is>
          <t>Total Deal Value</t>
        </is>
      </c>
    </row>
    <row r="2" ht="22.5" customHeight="1" s="21">
      <c r="A2" s="7" t="n">
        <v>46251</v>
      </c>
      <c r="B2" s="10" t="inlineStr">
        <is>
          <t>STYLEBAAZA</t>
        </is>
      </c>
      <c r="C2" s="20" t="inlineStr">
        <is>
          <t>NSE BL Session</t>
        </is>
      </c>
      <c r="D2" s="10" t="inlineStr">
        <is>
          <t>BLOCK DEAL</t>
        </is>
      </c>
      <c r="E2" s="20" t="inlineStr">
        <is>
          <t>NSE</t>
        </is>
      </c>
      <c r="F2" s="9" t="n">
        <v>4500000</v>
      </c>
      <c r="G2" s="20" t="n">
        <v>362</v>
      </c>
      <c r="H2" s="20" t="inlineStr">
        <is>
          <t>₹162.90 Cr</t>
        </is>
      </c>
    </row>
    <row r="3" ht="22.5" customHeight="1" s="21">
      <c r="A3" s="7" t="n">
        <v>46246</v>
      </c>
      <c r="B3" s="10" t="inlineStr">
        <is>
          <t>Zepto (Pre-IPO / Secondary)</t>
        </is>
      </c>
      <c r="C3" s="20" t="inlineStr">
        <is>
          <t>Motilal Oswal / Norges Bank</t>
        </is>
      </c>
      <c r="D3" s="10" t="inlineStr">
        <is>
          <t>BUY</t>
        </is>
      </c>
      <c r="E3" s="20" t="inlineStr">
        <is>
          <t>Off-Market</t>
        </is>
      </c>
      <c r="F3" s="20" t="inlineStr">
        <is>
          <t>Confidential</t>
        </is>
      </c>
      <c r="G3" s="20" t="inlineStr">
        <is>
          <t>Bulk Entry</t>
        </is>
      </c>
      <c r="H3" s="20" t="inlineStr">
        <is>
          <t>High Institutional Interest</t>
        </is>
      </c>
    </row>
    <row r="4" ht="22.5" customHeight="1" s="21">
      <c r="A4" s="7" t="n">
        <v>46245</v>
      </c>
      <c r="B4" s="10" t="inlineStr">
        <is>
          <t>IIFL Securities</t>
        </is>
      </c>
      <c r="C4" s="20" t="inlineStr">
        <is>
          <t>Error Account Adjustment</t>
        </is>
      </c>
      <c r="D4" s="10" t="inlineStr">
        <is>
          <t>BUY / SELL</t>
        </is>
      </c>
      <c r="E4" s="20" t="inlineStr">
        <is>
          <t>BSE</t>
        </is>
      </c>
      <c r="F4" s="20" t="inlineStr">
        <is>
          <t>14,045 / 17,000</t>
        </is>
      </c>
      <c r="G4" s="20" t="n">
        <v>500.17</v>
      </c>
      <c r="H4" s="20" t="inlineStr">
        <is>
          <t>~₹8.50 Cr</t>
        </is>
      </c>
    </row>
  </sheetData>
  <dataValidations count="1">
    <dataValidation sqref="A2:A4" showDropDown="1" showInputMessage="0" showErrorMessage="0" allowBlank="1" type="custom">
      <formula1>OR(NOT(ISERROR(DATEVALUE(A2))), AND(ISNUMBER(A2), LEFT(CELL("format", A2))="D"))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75" customWidth="1" style="21" min="1" max="1"/>
    <col width="21.25" customWidth="1" style="21" min="2" max="2"/>
    <col width="22.63" customWidth="1" style="21" min="3" max="3"/>
    <col width="17.13" customWidth="1" style="21" min="4" max="4"/>
    <col width="17.75" customWidth="1" style="21" min="5" max="5"/>
    <col width="24.88" customWidth="1" style="21" min="6" max="6"/>
  </cols>
  <sheetData>
    <row r="1" ht="22.5" customHeight="1" s="21">
      <c r="A1" s="1" t="inlineStr">
        <is>
          <t>Company Name</t>
        </is>
      </c>
      <c r="B1" s="1" t="inlineStr">
        <is>
          <t>Exchange / Category</t>
        </is>
      </c>
      <c r="C1" s="1" t="inlineStr">
        <is>
          <t>Scheduled Issue Dates</t>
        </is>
      </c>
      <c r="D1" s="1" t="inlineStr">
        <is>
          <t>Price Range (₹)</t>
        </is>
      </c>
      <c r="E1" s="1" t="inlineStr">
        <is>
          <t>Issue Size (₹ Cr)</t>
        </is>
      </c>
      <c r="F1" s="1" t="inlineStr">
        <is>
          <t>Minimum Investment / Lot</t>
        </is>
      </c>
    </row>
    <row r="2" ht="22.5" customHeight="1" s="21">
      <c r="A2" s="13" t="inlineStr">
        <is>
          <t>Horizon Industrial Parks</t>
        </is>
      </c>
      <c r="B2" s="14" t="inlineStr">
        <is>
          <t>Mainboard</t>
        </is>
      </c>
      <c r="C2" s="15" t="inlineStr">
        <is>
          <t>17 Aug – 19 Aug 2026</t>
        </is>
      </c>
      <c r="D2" s="14" t="inlineStr">
        <is>
          <t>₹57 – ₹60</t>
        </is>
      </c>
      <c r="E2" s="14" t="inlineStr">
        <is>
          <t>₹2,600.00 Cr</t>
        </is>
      </c>
      <c r="F2" s="14" t="inlineStr">
        <is>
          <t>₹14,250</t>
        </is>
      </c>
    </row>
    <row r="3" ht="22.5" customHeight="1" s="21">
      <c r="A3" s="13" t="inlineStr">
        <is>
          <t>ENS Enterprises</t>
        </is>
      </c>
      <c r="B3" s="14" t="inlineStr">
        <is>
          <t>BSE SME</t>
        </is>
      </c>
      <c r="C3" s="15" t="inlineStr">
        <is>
          <t>14 Aug – 18 Aug 2026</t>
        </is>
      </c>
      <c r="D3" s="14" t="inlineStr">
        <is>
          <t>₹87 – ₹92</t>
        </is>
      </c>
      <c r="E3" s="14" t="inlineStr">
        <is>
          <t>₹33.14 Cr</t>
        </is>
      </c>
      <c r="F3" s="14" t="inlineStr">
        <is>
          <t>₹2,08,800</t>
        </is>
      </c>
    </row>
    <row r="4" ht="22.5" customHeight="1" s="21">
      <c r="A4" s="13" t="inlineStr">
        <is>
          <t>Technocrats Plasma Systems</t>
        </is>
      </c>
      <c r="B4" s="14" t="inlineStr">
        <is>
          <t>BSE SME</t>
        </is>
      </c>
      <c r="C4" s="15" t="inlineStr">
        <is>
          <t>14 Aug – 18 Aug 2026</t>
        </is>
      </c>
      <c r="D4" s="14" t="inlineStr">
        <is>
          <t>₹125 – ₹132</t>
        </is>
      </c>
      <c r="E4" s="14" t="inlineStr">
        <is>
          <t>₹60.98 Cr</t>
        </is>
      </c>
      <c r="F4" s="14" t="inlineStr">
        <is>
          <t>₹2,50,000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5" customWidth="1" style="21" min="1" max="1"/>
    <col width="26.88" customWidth="1" style="21" min="3" max="3"/>
    <col width="21.75" customWidth="1" style="21" min="4" max="4"/>
  </cols>
  <sheetData>
    <row r="1" ht="22.5" customHeight="1" s="21">
      <c r="A1" s="1" t="inlineStr">
        <is>
          <t>Company Name</t>
        </is>
      </c>
      <c r="B1" s="1" t="inlineStr">
        <is>
          <t>Ticker</t>
        </is>
      </c>
      <c r="C1" s="1" t="inlineStr">
        <is>
          <t>Delivery Percentage (%)</t>
        </is>
      </c>
      <c r="D1" s="1" t="inlineStr">
        <is>
          <t>Signal / Remark</t>
        </is>
      </c>
    </row>
    <row r="2" ht="22.5" customHeight="1" s="21">
      <c r="A2" s="10" t="inlineStr">
        <is>
          <t>APOLLOHOSP</t>
        </is>
      </c>
      <c r="B2" s="20" t="inlineStr">
        <is>
          <t>APOLLOHOSP</t>
        </is>
      </c>
      <c r="C2" s="19" t="n">
        <v>0</v>
      </c>
      <c r="D2" s="20" t="inlineStr">
        <is>
          <t>High Volume Accumulation</t>
        </is>
      </c>
    </row>
    <row r="3" ht="22.5" customHeight="1" s="21">
      <c r="A3" s="10" t="inlineStr">
        <is>
          <t>BHARTIARTL</t>
        </is>
      </c>
      <c r="B3" s="20" t="inlineStr">
        <is>
          <t>BHARTIARTL</t>
        </is>
      </c>
      <c r="C3" s="19" t="n">
        <v>0</v>
      </c>
      <c r="D3" s="20" t="inlineStr">
        <is>
          <t>High Volume Accumulation</t>
        </is>
      </c>
    </row>
    <row r="4" ht="22.5" customHeight="1" s="21">
      <c r="A4" s="10" t="inlineStr">
        <is>
          <t>ADANIPORTS</t>
        </is>
      </c>
      <c r="B4" s="20" t="inlineStr">
        <is>
          <t>ADANIPORTS</t>
        </is>
      </c>
      <c r="C4" s="19" t="n">
        <v>0</v>
      </c>
      <c r="D4" s="20" t="inlineStr">
        <is>
          <t>High Volume Accumulation</t>
        </is>
      </c>
    </row>
    <row r="5" ht="22.5" customHeight="1" s="21">
      <c r="A5" s="10" t="inlineStr">
        <is>
          <t>ADANIENT</t>
        </is>
      </c>
      <c r="B5" s="20" t="inlineStr">
        <is>
          <t>ADANIENT</t>
        </is>
      </c>
      <c r="C5" s="19" t="n">
        <v>0</v>
      </c>
      <c r="D5" s="20" t="inlineStr">
        <is>
          <t>High Volume Accumulation</t>
        </is>
      </c>
    </row>
    <row r="6" ht="22.5" customHeight="1" s="21">
      <c r="A6" s="10" t="inlineStr">
        <is>
          <t>ICICIBANK</t>
        </is>
      </c>
      <c r="B6" s="20" t="inlineStr">
        <is>
          <t>ICICIBANK</t>
        </is>
      </c>
      <c r="C6" s="19" t="n">
        <v>0</v>
      </c>
      <c r="D6" s="20" t="inlineStr">
        <is>
          <t>High Volume Accumulation</t>
        </is>
      </c>
    </row>
  </sheetData>
  <dataValidations count="1">
    <dataValidation sqref="C2:C6" showDropDown="1" showInputMessage="0" showErrorMessage="0" allowBlank="1" type="custom">
      <formula1>AND(ISNUMBER(C2),(NOT(OR(NOT(ISERROR(DATEVALUE(C2))), AND(ISNUMBER(C2), LEFT(CELL("format", C2))="D")))))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19.63" customWidth="1" style="21" min="1" max="1"/>
    <col width="25.63" customWidth="1" style="21" min="2" max="2"/>
    <col width="17.5" customWidth="1" style="21" min="3" max="3"/>
    <col width="35.88" customWidth="1" style="21" min="4" max="4"/>
  </cols>
  <sheetData>
    <row r="1">
      <c r="A1" s="16" t="n"/>
      <c r="B1" s="16" t="n"/>
      <c r="C1" s="16" t="n"/>
      <c r="D1" s="16" t="n"/>
    </row>
    <row r="2" ht="22.5" customHeight="1" s="21">
      <c r="A2" s="1" t="inlineStr">
        <is>
          <t>Company Name</t>
        </is>
      </c>
      <c r="B2" s="1" t="inlineStr">
        <is>
          <t>Event Type</t>
        </is>
      </c>
      <c r="C2" s="1" t="inlineStr">
        <is>
          <t>Scheduled Date</t>
        </is>
      </c>
      <c r="D2" s="1" t="inlineStr">
        <is>
          <t>Focus Area / Agenda</t>
        </is>
      </c>
    </row>
    <row r="3" ht="22.5" customHeight="1" s="21">
      <c r="A3" s="10" t="inlineStr">
        <is>
          <t>Annapurna Swadisht Limited</t>
        </is>
      </c>
      <c r="B3" s="20" t="inlineStr">
        <is>
          <t>Financial Results</t>
        </is>
      </c>
      <c r="C3" s="17" t="n">
        <v>46252</v>
      </c>
      <c r="D3" s="20" t="inlineStr">
        <is>
          <t>ANNAPURNA : 18-Aug-2026 :  The Company has informed the Exchange that a Board meeting to be held on August 14, 2026 has been re-scheduled. Further, the Company has informed the Exchange that the meeting of the Board of Directors of the Company will be held on August 18, 2026.</t>
        </is>
      </c>
    </row>
    <row r="4" ht="22.5" customHeight="1" s="21">
      <c r="A4" s="10" t="inlineStr">
        <is>
          <t>B.A.G Films and Media Limited</t>
        </is>
      </c>
      <c r="B4" s="20" t="inlineStr">
        <is>
          <t>Financial Results/Other business matters</t>
        </is>
      </c>
      <c r="C4" s="18" t="n">
        <v>46252</v>
      </c>
      <c r="D4" s="20" t="inlineStr">
        <is>
          <t>To consider and approve the financial results for the period ended Jun 30, 2026 and other business matters</t>
        </is>
      </c>
    </row>
    <row r="5" ht="22.5" customHeight="1" s="21">
      <c r="A5" s="10" t="inlineStr">
        <is>
          <t>Balkrishna Industries Limited</t>
        </is>
      </c>
      <c r="B5" s="20" t="inlineStr">
        <is>
          <t>Fund Raising</t>
        </is>
      </c>
      <c r="C5" s="17" t="n">
        <v>46252</v>
      </c>
      <c r="D5" s="20" t="inlineStr">
        <is>
          <t>Pursuant to Regulations 29(1)(d) of the Listing Regulations, we wish to inform you that a meeting of the Finance Committee of the Board of directors of Balkrishna Industries Limited ( Company ) is scheduled to be held on 18th August, 2026 inter-alia, to consider and approve the proposal of raising funds through issuance of non-convertible debentures on a private placement basis in one or more tranches ( Debentures ).</t>
        </is>
      </c>
    </row>
    <row r="6">
      <c r="A6" s="0" t="inlineStr">
        <is>
          <t>INDO-MIM Limited</t>
        </is>
      </c>
      <c r="B6" s="0" t="inlineStr">
        <is>
          <t>Financial Results/Other business matters</t>
        </is>
      </c>
      <c r="C6" s="22" t="n">
        <v>46251</v>
      </c>
      <c r="D6" s="0" t="inlineStr">
        <is>
          <t>To consider and approve the financial results for the period ended Jun 30, 2026 and other business matters</t>
        </is>
      </c>
    </row>
    <row r="7">
      <c r="A7" s="0" t="inlineStr">
        <is>
          <t>Shree Ram Proteins Limited</t>
        </is>
      </c>
      <c r="B7" s="0" t="inlineStr">
        <is>
          <t>Financial Results</t>
        </is>
      </c>
      <c r="C7" s="22" t="n">
        <v>46251</v>
      </c>
      <c r="D7" s="0" t="inlineStr">
        <is>
          <t>To consider and approve the financial results for the period ended Jun 30, 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13" customWidth="1" style="21" min="1" max="1"/>
    <col width="18.5" customWidth="1" style="21" min="3" max="3"/>
    <col width="37.63" customWidth="1" style="21" min="4" max="4"/>
  </cols>
  <sheetData>
    <row r="1" ht="22.5" customHeight="1" s="21">
      <c r="A1" s="1" t="inlineStr">
        <is>
          <t>Company Name</t>
        </is>
      </c>
      <c r="B1" s="1" t="inlineStr">
        <is>
          <t>Ticker</t>
        </is>
      </c>
      <c r="C1" s="1" t="inlineStr">
        <is>
          <t>Filing Date / Time</t>
        </is>
      </c>
      <c r="D1" s="1" t="inlineStr">
        <is>
          <t>Subject / Key Disclosure</t>
        </is>
      </c>
    </row>
    <row r="2" ht="22.5" customHeight="1" s="21">
      <c r="A2" s="10" t="inlineStr">
        <is>
          <t>INDSWFTLAB</t>
        </is>
      </c>
      <c r="B2" s="20" t="inlineStr">
        <is>
          <t>INDSWFTLAB</t>
        </is>
      </c>
      <c r="C2" s="20" t="inlineStr">
        <is>
          <t>17-Aug-2026 14:42:46</t>
        </is>
      </c>
      <c r="D2" s="20" t="inlineStr">
        <is>
          <t>Investor Presentation</t>
        </is>
      </c>
    </row>
    <row r="3" ht="22.5" customHeight="1" s="21">
      <c r="A3" s="10" t="inlineStr">
        <is>
          <t>SIGMAADV</t>
        </is>
      </c>
      <c r="B3" s="20" t="inlineStr">
        <is>
          <t>SIGMAADV</t>
        </is>
      </c>
      <c r="C3" s="20" t="inlineStr">
        <is>
          <t>17-Aug-2026 14:41:29</t>
        </is>
      </c>
      <c r="D3" s="20" t="inlineStr">
        <is>
          <t>General Updates</t>
        </is>
      </c>
    </row>
    <row r="4" ht="22.5" customHeight="1" s="21">
      <c r="A4" s="10" t="inlineStr">
        <is>
          <t>MUKANDLTD</t>
        </is>
      </c>
      <c r="B4" s="20" t="inlineStr">
        <is>
          <t>MUKANDLTD</t>
        </is>
      </c>
      <c r="C4" s="20" t="inlineStr">
        <is>
          <t>17-Aug-2026 14:41:21</t>
        </is>
      </c>
      <c r="D4" s="20" t="inlineStr">
        <is>
          <t>Credit Rating- Revision</t>
        </is>
      </c>
    </row>
    <row r="5" ht="22.5" customHeight="1" s="21">
      <c r="A5" s="10" t="inlineStr">
        <is>
          <t>BAJAJFINSV</t>
        </is>
      </c>
      <c r="B5" s="20" t="inlineStr">
        <is>
          <t>BAJAJFINSV</t>
        </is>
      </c>
      <c r="C5" s="20" t="inlineStr">
        <is>
          <t>17-Aug-2026 14:40:58</t>
        </is>
      </c>
      <c r="D5" s="20" t="inlineStr">
        <is>
          <t>Analysts/Institutional Investor Meet/Con. Call Updates</t>
        </is>
      </c>
    </row>
    <row r="6" ht="22.5" customHeight="1" s="21">
      <c r="A6" s="10" t="inlineStr">
        <is>
          <t>MOKSH</t>
        </is>
      </c>
      <c r="B6" s="20" t="inlineStr">
        <is>
          <t>MOKSH</t>
        </is>
      </c>
      <c r="C6" s="20" t="inlineStr">
        <is>
          <t>17-Aug-2026 14:38:50</t>
        </is>
      </c>
      <c r="D6" s="20" t="inlineStr">
        <is>
          <t>Copy of Newspaper Publication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63" customWidth="1" style="21" min="1" max="1"/>
    <col width="14" customWidth="1" style="21" min="3" max="3"/>
    <col width="17.75" customWidth="1" style="21" min="4" max="4"/>
    <col width="37.63" customWidth="1" style="21" min="5" max="5"/>
  </cols>
  <sheetData>
    <row r="1" ht="22.5" customHeight="1" s="21">
      <c r="A1" s="1" t="inlineStr">
        <is>
          <t>Company Name</t>
        </is>
      </c>
      <c r="B1" s="1" t="inlineStr">
        <is>
          <t>Ticker</t>
        </is>
      </c>
      <c r="C1" s="1" t="inlineStr">
        <is>
          <t>LTP (₹)</t>
        </is>
      </c>
      <c r="D1" s="1" t="inlineStr">
        <is>
          <t>Day Change (%)</t>
        </is>
      </c>
      <c r="E1" s="1" t="inlineStr">
        <is>
          <t>Result Highlights / Key Takeaway</t>
        </is>
      </c>
    </row>
    <row r="2" ht="22.5" customHeight="1" s="21">
      <c r="A2" s="10" t="inlineStr">
        <is>
          <t>EICHERMOT</t>
        </is>
      </c>
      <c r="B2" s="20" t="inlineStr">
        <is>
          <t>EICHERMOT</t>
        </is>
      </c>
      <c r="C2" s="3" t="n">
        <v>491.95</v>
      </c>
      <c r="D2" s="19" t="n">
        <v>-0.0941</v>
      </c>
      <c r="E2" s="20" t="inlineStr">
        <is>
          <t>Press Release</t>
        </is>
      </c>
    </row>
    <row r="3" ht="22.5" customHeight="1" s="21">
      <c r="A3" s="10" t="inlineStr">
        <is>
          <t>OMFREIGHT</t>
        </is>
      </c>
      <c r="B3" s="20" t="inlineStr">
        <is>
          <t>OMFREIGHT</t>
        </is>
      </c>
      <c r="C3" s="3" t="n">
        <v>12.65</v>
      </c>
      <c r="D3" s="19" t="n">
        <v>-0.0156</v>
      </c>
      <c r="E3" s="20" t="inlineStr">
        <is>
          <t>Press Release</t>
        </is>
      </c>
    </row>
    <row r="4" ht="22.5" customHeight="1" s="21">
      <c r="A4" s="10" t="inlineStr">
        <is>
          <t>SATIA</t>
        </is>
      </c>
      <c r="B4" s="20" t="inlineStr">
        <is>
          <t>SATIA</t>
        </is>
      </c>
      <c r="C4" s="3" t="n">
        <v>31.83</v>
      </c>
      <c r="D4" s="19" t="n">
        <v>-0.0499</v>
      </c>
      <c r="E4" s="20" t="inlineStr">
        <is>
          <t>Press Release</t>
        </is>
      </c>
    </row>
    <row r="5" ht="22.5" customHeight="1" s="21">
      <c r="A5" s="10" t="inlineStr">
        <is>
          <t>JUNIPER</t>
        </is>
      </c>
      <c r="B5" s="20" t="inlineStr">
        <is>
          <t>JUNIPER</t>
        </is>
      </c>
      <c r="C5" s="3" t="n">
        <v>18.85</v>
      </c>
      <c r="D5" s="20">
        <f>+4.9%</f>
        <v/>
      </c>
      <c r="E5" s="20" t="inlineStr">
        <is>
          <t>Press Release</t>
        </is>
      </c>
    </row>
    <row r="6" ht="22.5" customHeight="1" s="21">
      <c r="A6" s="10" t="inlineStr">
        <is>
          <t>Siemens</t>
        </is>
      </c>
      <c r="B6" s="20" t="inlineStr">
        <is>
          <t>SIEMENS</t>
        </is>
      </c>
      <c r="C6" s="3" t="n">
        <v>4019</v>
      </c>
      <c r="D6" s="19" t="n">
        <v>0</v>
      </c>
      <c r="E6" s="20" t="inlineStr">
        <is>
          <t>Board Board Meeting / Quarterly Results.</t>
        </is>
      </c>
    </row>
    <row r="7" ht="22.5" customHeight="1" s="21">
      <c r="A7" s="10" t="inlineStr">
        <is>
          <t>Astral</t>
        </is>
      </c>
      <c r="B7" s="20" t="inlineStr">
        <is>
          <t>ASTRAL</t>
        </is>
      </c>
      <c r="C7" s="3" t="n">
        <v>1464</v>
      </c>
      <c r="D7" s="19" t="n">
        <v>0</v>
      </c>
      <c r="E7" s="20" t="inlineStr">
        <is>
          <t>Board Board Meeting / Quarterly Results.</t>
        </is>
      </c>
    </row>
  </sheetData>
  <dataValidations count="1">
    <dataValidation sqref="C2:C7" showDropDown="1" showInputMessage="0" showErrorMessage="0" allowBlank="1" type="custom">
      <formula1>AND(ISNUMBER(C2),(NOT(OR(NOT(ISERROR(DATEVALUE(C2))), AND(ISNUMBER(C2), LEFT(CELL("format", C2))="D")))))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2026-08-14T10:48:35Z</dcterms:created>
  <dcterms:modified xmlns:dcterms="http://purl.org/dc/terms/" xmlns:xsi="http://www.w3.org/2001/XMLSchema-instance" xsi:type="dcterms:W3CDTF">2026-08-17T09:16:21Z</dcterms:modified>
</cp:coreProperties>
</file>